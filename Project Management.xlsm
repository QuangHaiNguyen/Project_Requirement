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https://d.docs.live.net/fd1d15bc394a3df7/Work/Excel_VBA/Project Management/"/>
    </mc:Choice>
  </mc:AlternateContent>
  <xr:revisionPtr revIDLastSave="556" documentId="14_{D4A9A88A-D624-48A4-984E-3060B046A1F2}" xr6:coauthVersionLast="45" xr6:coauthVersionMax="45" xr10:uidLastSave="{D2A5D353-FC37-4957-A895-B7E5BF4268EC}"/>
  <bookViews>
    <workbookView xWindow="-120" yWindow="-120" windowWidth="29040" windowHeight="15840" tabRatio="645" activeTab="5" xr2:uid="{00000000-000D-0000-FFFF-FFFF00000000}"/>
  </bookViews>
  <sheets>
    <sheet name="Introduction and User guide" sheetId="7" r:id="rId1"/>
    <sheet name="Project Journal " sheetId="1" r:id="rId2"/>
    <sheet name="Cost Tracking" sheetId="2" r:id="rId3"/>
    <sheet name="Bill Of Material" sheetId="3" r:id="rId4"/>
    <sheet name="Requirement " sheetId="4" r:id="rId5"/>
    <sheet name="Time Management " sheetId="5" r:id="rId6"/>
    <sheet name="Internal" sheetId="6" r:id="rId7"/>
  </sheets>
  <functionGroups builtInGroupCount="19"/>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6" i="5" l="1"/>
  <c r="G16" i="5"/>
  <c r="E15" i="5"/>
  <c r="G15" i="5"/>
  <c r="E14" i="5"/>
  <c r="G14" i="5"/>
  <c r="E13" i="5"/>
  <c r="G13" i="5"/>
  <c r="E12" i="5"/>
  <c r="G12" i="5"/>
  <c r="E11" i="5"/>
  <c r="G11" i="5"/>
  <c r="E10" i="5"/>
  <c r="G10" i="5"/>
  <c r="E9" i="5"/>
  <c r="G9" i="5"/>
</calcChain>
</file>

<file path=xl/sharedStrings.xml><?xml version="1.0" encoding="utf-8"?>
<sst xmlns="http://schemas.openxmlformats.org/spreadsheetml/2006/main" count="218" uniqueCount="126">
  <si>
    <t>Date</t>
  </si>
  <si>
    <t>Time</t>
  </si>
  <si>
    <t xml:space="preserve">Author </t>
  </si>
  <si>
    <t>Content</t>
  </si>
  <si>
    <t>ID</t>
  </si>
  <si>
    <t>Project journal</t>
  </si>
  <si>
    <t>Contain parameter of other sheet, do not delete or delete it at your onw risk ;)</t>
  </si>
  <si>
    <t xml:space="preserve">Project Journal </t>
  </si>
  <si>
    <t xml:space="preserve">Cost Tracking </t>
  </si>
  <si>
    <t xml:space="preserve">Item </t>
  </si>
  <si>
    <t>Price</t>
  </si>
  <si>
    <t>Link</t>
  </si>
  <si>
    <t>Bill of Material</t>
  </si>
  <si>
    <t>Item</t>
  </si>
  <si>
    <t>Author</t>
  </si>
  <si>
    <t>BOM</t>
  </si>
  <si>
    <t>Requirement</t>
  </si>
  <si>
    <t>Requirement ID</t>
  </si>
  <si>
    <t>Start Date</t>
  </si>
  <si>
    <t>End Date</t>
  </si>
  <si>
    <t>Status</t>
  </si>
  <si>
    <t xml:space="preserve">Duration </t>
  </si>
  <si>
    <t>Actual end date</t>
  </si>
  <si>
    <t xml:space="preserve">Actual duration </t>
  </si>
  <si>
    <t>Progress</t>
  </si>
  <si>
    <t>Requirement List</t>
  </si>
  <si>
    <t>Type</t>
  </si>
  <si>
    <t>Priority</t>
  </si>
  <si>
    <t>Project Timeline</t>
  </si>
  <si>
    <t>Functional</t>
  </si>
  <si>
    <t>Pending</t>
  </si>
  <si>
    <t>Low</t>
  </si>
  <si>
    <t>Non-functional</t>
  </si>
  <si>
    <t>Requirement status</t>
  </si>
  <si>
    <t>Not-implemented</t>
  </si>
  <si>
    <t>Implemented</t>
  </si>
  <si>
    <t>Normal</t>
  </si>
  <si>
    <t>Implementing</t>
  </si>
  <si>
    <t>Requirement type</t>
  </si>
  <si>
    <t>Constraint</t>
  </si>
  <si>
    <t>Requirement Status</t>
  </si>
  <si>
    <t>High</t>
  </si>
  <si>
    <t>Critical</t>
  </si>
  <si>
    <t>Pattern name</t>
  </si>
  <si>
    <t>Pattern</t>
  </si>
  <si>
    <t>Ubiquitous</t>
  </si>
  <si>
    <t>Event-Driven</t>
  </si>
  <si>
    <t>Unwanted behavior</t>
  </si>
  <si>
    <t>State-driven</t>
  </si>
  <si>
    <t>Optional feature</t>
  </si>
  <si>
    <t>Complex</t>
  </si>
  <si>
    <t>Combination of above pattern</t>
  </si>
  <si>
    <t>Requirement guideline</t>
  </si>
  <si>
    <t xml:space="preserve">Project Management Sheet </t>
  </si>
  <si>
    <t xml:space="preserve">Introduction </t>
  </si>
  <si>
    <r>
      <t xml:space="preserve">The </t>
    </r>
    <r>
      <rPr>
        <i/>
        <sz val="11"/>
        <rFont val="Calibri"/>
        <family val="2"/>
        <scheme val="minor"/>
      </rPr>
      <t>&lt;system name&gt;</t>
    </r>
    <r>
      <rPr>
        <sz val="11"/>
        <rFont val="Calibri"/>
        <family val="2"/>
        <scheme val="minor"/>
      </rPr>
      <t xml:space="preserve"> shall </t>
    </r>
    <r>
      <rPr>
        <i/>
        <sz val="11"/>
        <rFont val="Calibri"/>
        <family val="2"/>
        <scheme val="minor"/>
      </rPr>
      <t xml:space="preserve">&lt;system response&gt; </t>
    </r>
  </si>
  <si>
    <r>
      <t xml:space="preserve">WHEN </t>
    </r>
    <r>
      <rPr>
        <i/>
        <sz val="11"/>
        <rFont val="Calibri"/>
        <family val="2"/>
        <scheme val="minor"/>
      </rPr>
      <t>&lt;trigger&gt;</t>
    </r>
    <r>
      <rPr>
        <sz val="11"/>
        <rFont val="Calibri"/>
        <family val="2"/>
        <scheme val="minor"/>
      </rPr>
      <t xml:space="preserve"> </t>
    </r>
    <r>
      <rPr>
        <i/>
        <sz val="11"/>
        <rFont val="Calibri"/>
        <family val="2"/>
        <scheme val="minor"/>
      </rPr>
      <t>&lt;optional precondition&gt;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</si>
  <si>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IF </t>
    </r>
    <r>
      <rPr>
        <i/>
        <sz val="11"/>
        <rFont val="Calibri"/>
        <family val="2"/>
        <scheme val="minor"/>
      </rPr>
      <t>&lt;unwanted condition or event&gt;</t>
    </r>
    <r>
      <rPr>
        <sz val="11"/>
        <rFont val="Calibri"/>
        <family val="2"/>
        <scheme val="minor"/>
      </rPr>
      <t xml:space="preserve">, THEN the </t>
    </r>
    <r>
      <rPr>
        <i/>
        <sz val="11"/>
        <rFont val="Calibri"/>
        <family val="2"/>
        <scheme val="minor"/>
      </rPr>
      <t xml:space="preserve">&lt;system name&gt; </t>
    </r>
    <r>
      <rPr>
        <sz val="11"/>
        <rFont val="Calibri"/>
        <family val="2"/>
        <scheme val="minor"/>
      </rPr>
      <t xml:space="preserve">shall </t>
    </r>
    <r>
      <rPr>
        <i/>
        <sz val="11"/>
        <rFont val="Calibri"/>
        <family val="2"/>
        <scheme val="minor"/>
      </rPr>
      <t>&lt;system response&gt;</t>
    </r>
  </si>
  <si>
    <r>
      <t xml:space="preserve">WHILE </t>
    </r>
    <r>
      <rPr>
        <i/>
        <sz val="11"/>
        <rFont val="Calibri"/>
        <family val="2"/>
        <scheme val="minor"/>
      </rPr>
      <t>&lt;system state&gt;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</si>
  <si>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WHERE </t>
    </r>
    <r>
      <rPr>
        <i/>
        <sz val="11"/>
        <rFont val="Calibri"/>
        <family val="2"/>
        <scheme val="minor"/>
      </rPr>
      <t>&lt;feature is included&gt;</t>
    </r>
    <r>
      <rPr>
        <sz val="11"/>
        <rFont val="Calibri"/>
        <family val="2"/>
        <scheme val="minor"/>
      </rPr>
      <t>, the</t>
    </r>
    <r>
      <rPr>
        <i/>
        <sz val="11"/>
        <rFont val="Calibri"/>
        <family val="2"/>
        <scheme val="minor"/>
      </rPr>
      <t xml:space="preserve"> &lt;system name&gt;</t>
    </r>
    <r>
      <rPr>
        <sz val="11"/>
        <rFont val="Calibri"/>
        <family val="2"/>
        <scheme val="minor"/>
      </rPr>
      <t xml:space="preserve"> shall </t>
    </r>
    <r>
      <rPr>
        <i/>
        <sz val="11"/>
        <rFont val="Calibri"/>
        <family val="2"/>
        <scheme val="minor"/>
      </rPr>
      <t>&lt;system response&gt;</t>
    </r>
  </si>
  <si>
    <t>Userguide</t>
  </si>
  <si>
    <t>Project Journal</t>
  </si>
  <si>
    <t xml:space="preserve">This project management workbook aims at managing a homemade or a small software project. 
It comprises five excel sheets excluding the Introduction and Userguide sheet: Project journal, Cost Tracking, Bill of Material, Time management and Internal sheet. By using the workbook, user can manage his cost spent on the project, and the bill of material if the user is developing a hardware product. Furthermore, user can write his working journal through the Project Journal sheet and can manage his time spent on the tasks through the Time Management sheet. Las but not Least, the user can enter and manage the requirements of the project with the Requirement sheet. </t>
  </si>
  <si>
    <t>Cost Tracking</t>
  </si>
  <si>
    <t>Task Progress</t>
  </si>
  <si>
    <t>The idea of the Project Journal sheet is allowing the user entering what he have done on that particular day.
The purpose of this sheet is helping the user keep track of what and when the user carries out something on the project. It is, especially helpful when the project is interrupted for a long time and the user wants to re-work on it again.
The add button on he sheet allows the user to enter a new entry, i.e. what the user has done on that date and time. After pressing the Add Button, the user will be prompted to a form.
The ID, Date, Time of the form are automatically filled by the VBA script, the user must only fill in his/her name and the task the user has done.
Clicking save button will save the entry to the table in the Project Journal sheet. The cancel button will undo what the user has entered and close the form.
The user can delete an entry by selecting the ID field and clicking the Delete Button</t>
  </si>
  <si>
    <t xml:space="preserve">The same priciples are applied for the Cost Tracking Sheet. 
When the Form is prompted, the user can enter the Item name, price and the link, where the user buy that item. </t>
  </si>
  <si>
    <t xml:space="preserve">Bill of material </t>
  </si>
  <si>
    <t xml:space="preserve">If the user is working on a hardware related project, it is a good idea to have a place for keeping track of the Bill Of Materials (BOM). 
The BOM sheet works more or less the same as the the Cost Tracking sheet besides the absent of the fields Date and Time. </t>
  </si>
  <si>
    <t xml:space="preserve">Requirements </t>
  </si>
  <si>
    <t>Time Management sheet</t>
  </si>
  <si>
    <t xml:space="preserve">The Requirements sheet is the most important sheet of the project, where the user enters the project requirements from the Stakeholders.
In the Requirement form, the user can enter his name, the content, type, priority and status of the requirement. There is a hint on how to write the requirement locating in the Internal sheet. 
The requirement type includes:
      Functional: Describe the bevavior of the product or system
      Non-functional: the quality characteristic of the product or system
      Constraint: standard, norm or anything that ties to the system which cannot be changed
The requirement priority includes:
      Low
      Medium
      High
      Critical
</t>
  </si>
  <si>
    <t xml:space="preserve">The requirement status includes:
      Not implemeted: the requirement is not chosen for developing
      Pending: the requirement is chosen for development but it must wait for other higher prority requirement to be completed
      Impementing: the requirement is being developed 
      Implemented: the requirement is developed 
Whenever the fields status, type and priority are changed, the time and date field is updated.
Whenever the status of a requirement changed to implemeting, this requirement will be automatically added to the Time Management sheet. 
Whenever the status of a requirement changed to implemeted, the Actual End Date field of that requirement will be modified to the date the status have been changed. </t>
  </si>
  <si>
    <t>As mentioned in the Requirement section or the product, system requirement will be updated automatically based on the requirement status.
The user must enter the End date of the requirement. The end day means the aniticpated time that this requirement is implemented. In other words, it is the time, in theory, the user thinks he can finish implementing the requirement. 
The user must also update the Progress of the project which are: 0% 20% 50% 75% and 100%. 
The Status field will be automically updated based on the Start Date, End Date, Actual End Date and Progress. The status inlcudes:
      On going: the requirement is being implemented and it is on time.
      Late: the requirement is being implemented and it passed the end date (aka deadline).
      Finished on time: the requirement is finished implemented and it is on time.
      Finish late: the requirement is finished implemented and it is late.</t>
  </si>
  <si>
    <t>Contact</t>
  </si>
  <si>
    <t>Quang Hai Nguyen</t>
  </si>
  <si>
    <t>hainguyen.eeit@gmail.com</t>
  </si>
  <si>
    <t>R0000</t>
  </si>
  <si>
    <t>The Project Management Workbook shall include Five Excel Sheets: 
Project Journal, Cost Tracking, Bill of Material, Requirements, Project Time Management.</t>
  </si>
  <si>
    <t>R0001</t>
  </si>
  <si>
    <t>The Project Journal Sheet shall containt the following_x000D_
field: ID, Date, Time, Author and Content.</t>
  </si>
  <si>
    <t>R0002</t>
  </si>
  <si>
    <t>The Project Journal Sheet shall contain a button Add Entry.</t>
  </si>
  <si>
    <t>R0003</t>
  </si>
  <si>
    <t>When the user clicks the Izem Entry button, a form is appear on the screen.</t>
  </si>
  <si>
    <t>R0004</t>
  </si>
  <si>
    <t xml:space="preserve">The form allow the user enter the following information:_x000D_
Date, Time on which the current entry is created. The Date and Time will be automatically generated by the VBA script_x000D_
Author of the current entry_x000D_
Content of the entry_x000D_
A button to save the current entry to the Project Journal Sheet_x000D_
A button to delete the current entry_x000D_
The ID is generated automatically by the VBA script_x000D_
The ID will start with the value PJ0000_x000D_
</t>
  </si>
  <si>
    <t>R0005</t>
  </si>
  <si>
    <t>The Project Journal shall contain a button to delete a seleted entry</t>
  </si>
  <si>
    <t>R0006</t>
  </si>
  <si>
    <t>The Cost Tracking Sheet shall include six fields : Date, Time, ID, Item, Price, Link.</t>
  </si>
  <si>
    <t>R0007</t>
  </si>
  <si>
    <t>The Cost Tracking Sheet shall contain a button to delete a seleted item.</t>
  </si>
  <si>
    <t>R0008</t>
  </si>
  <si>
    <t>The selected item from requirement number 8 shall be defined when the user clicks on the ID field of an entry</t>
  </si>
  <si>
    <t>R0009</t>
  </si>
  <si>
    <t>The Bill of Material (BOM) Sheet shall include five fields : ID, Item, Partnumber, Price, Link.</t>
  </si>
  <si>
    <t>R0010</t>
  </si>
  <si>
    <t>The Requirement Sheet shall include five fields_x000D_
    * ID_x000D_
    * Date_x000D_
    * Time_x000D_
    * Author_x000D_
    * Requirement_x000D_
    * Type_x000D_
    * Priority_x000D_
    * Status</t>
  </si>
  <si>
    <t>R0011</t>
  </si>
  <si>
    <t>The VBA script shall automatically update the ID field.</t>
  </si>
  <si>
    <t>R0012</t>
  </si>
  <si>
    <t>The ID field shall start with the prefix R and count from 0000. For example R0000.</t>
  </si>
  <si>
    <t>R0013</t>
  </si>
  <si>
    <t>Priority field shall describe the priority of the requirement:_x000D_
    * Low_x000D_
    * Normal_x000D_
    * High_x000D_
    * Critical</t>
  </si>
  <si>
    <t>R0014</t>
  </si>
  <si>
    <t>It shall be described with the following parameter:_x000D_
    * On going: the requirement is being implemented and it is on time._x000D_
    * Late: the requirement is being implemented and it passed the end date (aka deadline)._x000D_
    * Finished on time: the requirement is finished implemented and it is on time._x000D_
    * Finish late: the requirement is finished implemented and it is late.</t>
  </si>
  <si>
    <t>CT0000</t>
  </si>
  <si>
    <t>Engineering hour</t>
  </si>
  <si>
    <t>None</t>
  </si>
  <si>
    <t>20$/hour * 5 working days * 8 working hours = 800$</t>
  </si>
  <si>
    <t>PJ0000</t>
  </si>
  <si>
    <t xml:space="preserve">Add all the requirement </t>
  </si>
  <si>
    <t>On Going</t>
  </si>
  <si>
    <t>PJ0001</t>
  </si>
  <si>
    <t>Imlementing the following requirements
   _ R0006
   _ R0011
   _ R0013
   _ R0002
   _ R0014
   _  R0000
   _ R0004
   _ R0005</t>
  </si>
  <si>
    <t>PJ0002</t>
  </si>
  <si>
    <t>PJ0003</t>
  </si>
  <si>
    <t>Working on the Gannt Diagram</t>
  </si>
  <si>
    <t>Implemented the following requirements:
   _ R0000
   _ R0005
   _ R0006
   _ R0011</t>
  </si>
  <si>
    <t>Quantity</t>
  </si>
  <si>
    <t>BOM0000</t>
  </si>
  <si>
    <t>No BOM</t>
  </si>
  <si>
    <t>0$</t>
  </si>
  <si>
    <t>Finished</t>
  </si>
  <si>
    <t>Finished 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</si>
</sst>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48"/>
      <color theme="4" tint="-0.249977111117893"/>
      <name val="Calibri"/>
      <family val="2"/>
      <scheme val="minor"/>
    </font>
    <font>
      <sz val="14"/>
      <color rgb="FF000000"/>
      <name val="Calibri"/>
      <family val="2"/>
    </font>
    <font>
      <sz val="28"/>
      <color rgb="FFFF0000"/>
      <name val="Calibri"/>
      <family val="2"/>
      <scheme val="minor"/>
    </font>
    <font>
      <b/>
      <sz val="11"/>
      <color theme="1"/>
      <name val="Calibri"/>
      <family val="2"/>
      <scheme val="minor"/>
    </font>
    <font>
      <sz val="11"/>
      <color rgb="FF000000"/>
      <name val="Calibri"/>
      <family val="2"/>
    </font>
    <font>
      <sz val="11"/>
      <color theme="1"/>
      <name val="Calibri"/>
      <family val="2"/>
      <scheme val="minor"/>
    </font>
    <font>
      <sz val="48"/>
      <color theme="4"/>
      <name val="Calibri"/>
      <family val="2"/>
      <scheme val="minor"/>
    </font>
    <font>
      <b/>
      <sz val="16"/>
      <color theme="0"/>
      <name val="Calibri"/>
      <family val="2"/>
      <scheme val="minor"/>
    </font>
    <font>
      <sz val="11"/>
      <name val="Calibri"/>
      <family val="2"/>
      <scheme val="minor"/>
    </font>
    <font>
      <i/>
      <sz val="11"/>
      <name val="Calibri"/>
      <family val="2"/>
      <scheme val="minor"/>
    </font>
    <font>
      <b/>
      <sz val="11"/>
      <color theme="8"/>
      <name val="Calibri"/>
      <family val="2"/>
      <scheme val="minor"/>
    </font>
    <font>
      <b/>
      <sz val="14"/>
      <color theme="8"/>
      <name val="Calibri"/>
      <family val="2"/>
      <scheme val="minor"/>
    </font>
    <font>
      <b/>
      <sz val="20"/>
      <color theme="8"/>
      <name val="Calibri"/>
      <family val="2"/>
      <scheme val="minor"/>
    </font>
    <font>
      <b/>
      <sz val="20"/>
      <color theme="4"/>
      <name val="Calibri"/>
      <family val="2"/>
      <scheme val="minor"/>
    </font>
    <font>
      <b/>
      <sz val="16"/>
      <color theme="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s>
  <fills count="3">
    <fill>
      <patternFill patternType="none"/>
    </fill>
    <fill>
      <patternFill patternType="gray125"/>
    </fill>
    <fill>
      <patternFill patternType="solid">
        <fgColor theme="4"/>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9" fontId="6" fillId="0" borderId="0" applyFont="0" applyFill="0" applyBorder="0" applyAlignment="0" applyProtection="0"/>
    <xf numFmtId="0" fontId="16" fillId="0" borderId="0" applyNumberFormat="0" applyFill="0" applyBorder="0" applyAlignment="0" applyProtection="0"/>
  </cellStyleXfs>
  <cellXfs count="31">
    <xf numFmtId="0" fontId="0" fillId="0" borderId="0" xfId="0"/>
    <xf numFmtId="0" fontId="1" fillId="0" borderId="0" xfId="0" applyFont="1"/>
    <xf numFmtId="14" fontId="0" fillId="0" borderId="0" xfId="0" applyNumberFormat="1"/>
    <xf numFmtId="0" fontId="3" fillId="0" borderId="0" xfId="0" applyFont="1"/>
    <xf numFmtId="19" fontId="0" fillId="0" borderId="0" xfId="0" applyNumberFormat="1"/>
    <xf numFmtId="0" fontId="4" fillId="0" borderId="0" xfId="0" applyFont="1"/>
    <xf numFmtId="9" fontId="0" fillId="0" borderId="0" xfId="0" applyNumberFormat="1"/>
    <xf numFmtId="9" fontId="0" fillId="0" borderId="0" xfId="1" applyFont="1"/>
    <xf numFmtId="0" fontId="7" fillId="0" borderId="0" xfId="0" applyFont="1"/>
    <xf numFmtId="0" fontId="0" fillId="0" borderId="0" xfId="0" applyAlignment="1">
      <alignment horizontal="left" wrapText="1"/>
    </xf>
    <xf numFmtId="0" fontId="9" fillId="0" borderId="1" xfId="0" applyFont="1" applyFill="1" applyBorder="1"/>
    <xf numFmtId="0" fontId="11" fillId="0" borderId="1" xfId="0" applyFont="1" applyFill="1" applyBorder="1"/>
    <xf numFmtId="0" fontId="0" fillId="0" borderId="0" xfId="0" applyAlignment="1">
      <alignment wrapText="1"/>
    </xf>
    <xf numFmtId="0" fontId="12" fillId="0" borderId="0" xfId="0" applyFont="1"/>
    <xf numFmtId="0" fontId="13" fillId="0" borderId="0" xfId="0" applyFont="1"/>
    <xf numFmtId="0" fontId="14" fillId="0" borderId="0" xfId="0" applyFont="1" applyBorder="1"/>
    <xf numFmtId="0" fontId="15" fillId="0" borderId="0" xfId="0" applyFont="1"/>
    <xf numFmtId="0" fontId="0" fillId="0" borderId="0" xfId="0" applyAlignment="1">
      <alignment vertical="top" wrapText="1"/>
    </xf>
    <xf numFmtId="0" fontId="0" fillId="0" borderId="0" xfId="0" applyAlignment="1">
      <alignment horizontal="left" vertical="top" wrapText="1"/>
    </xf>
    <xf numFmtId="0" fontId="17" fillId="0" borderId="0" xfId="0" applyFont="1"/>
    <xf numFmtId="0" fontId="18" fillId="0" borderId="0" xfId="2" applyFont="1"/>
    <xf numFmtId="0" fontId="1" fillId="0" borderId="0" xfId="0" applyFont="1" applyAlignment="1">
      <alignment horizontal="left" vertical="top"/>
    </xf>
    <xf numFmtId="0" fontId="0" fillId="0" borderId="0" xfId="0" applyAlignment="1">
      <alignment horizontal="left" vertical="top"/>
    </xf>
    <xf numFmtId="14" fontId="0" fillId="0" borderId="0" xfId="0" applyNumberFormat="1" applyAlignment="1">
      <alignment horizontal="left" vertical="top"/>
    </xf>
    <xf numFmtId="19" fontId="0" fillId="0" borderId="0" xfId="0" applyNumberFormat="1" applyAlignment="1">
      <alignment horizontal="left" vertical="top"/>
    </xf>
    <xf numFmtId="0" fontId="8" fillId="2" borderId="2" xfId="0" applyFont="1" applyFill="1" applyBorder="1" applyAlignment="1">
      <alignment horizontal="center" vertical="center"/>
    </xf>
    <xf numFmtId="0" fontId="1" fillId="0" borderId="0" xfId="0" applyFont="1" applyAlignment="1">
      <alignment vertical="top"/>
    </xf>
    <xf numFmtId="0" fontId="0" fillId="0" borderId="0" xfId="0" applyAlignment="1">
      <alignment vertical="top"/>
    </xf>
    <xf numFmtId="14" fontId="0" fillId="0" borderId="0" xfId="0" applyNumberFormat="1" applyAlignment="1">
      <alignment vertical="top"/>
    </xf>
    <xf numFmtId="19" fontId="0" fillId="0" borderId="0" xfId="0" applyNumberFormat="1" applyAlignment="1">
      <alignment vertical="top"/>
    </xf>
    <xf numFmtId="0" fontId="0" fillId="0" borderId="0" xfId="0" applyAlignment="1">
      <alignment horizontal="right"/>
    </xf>
  </cellXfs>
  <cellStyles count="3">
    <cellStyle name="Hyperlink" xfId="2" builtinId="8"/>
    <cellStyle name="Normal" xfId="0" builtinId="0"/>
    <cellStyle name="Percent" xfId="1" builtinId="5"/>
  </cellStyles>
  <dxfs count="12">
    <dxf>
      <alignment horizontal="right" vertical="bottom"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171450</xdr:rowOff>
        </xdr:from>
        <xdr:to>
          <xdr:col>3</xdr:col>
          <xdr:colOff>0</xdr:colOff>
          <xdr:row>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2</xdr:row>
          <xdr:rowOff>180975</xdr:rowOff>
        </xdr:from>
        <xdr:to>
          <xdr:col>4</xdr:col>
          <xdr:colOff>1047750</xdr:colOff>
          <xdr:row>5</xdr:row>
          <xdr:rowOff>9525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Entry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590550</xdr:colOff>
          <xdr:row>3</xdr:row>
          <xdr:rowOff>9525</xdr:rowOff>
        </xdr:from>
        <xdr:to>
          <xdr:col>2</xdr:col>
          <xdr:colOff>561975</xdr:colOff>
          <xdr:row>5</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2</xdr:row>
          <xdr:rowOff>180975</xdr:rowOff>
        </xdr:from>
        <xdr:to>
          <xdr:col>4</xdr:col>
          <xdr:colOff>704850</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190501</xdr:colOff>
          <xdr:row>3</xdr:row>
          <xdr:rowOff>9525</xdr:rowOff>
        </xdr:from>
        <xdr:to>
          <xdr:col>4</xdr:col>
          <xdr:colOff>381001</xdr:colOff>
          <xdr:row>5</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600075</xdr:colOff>
          <xdr:row>3</xdr:row>
          <xdr:rowOff>9525</xdr:rowOff>
        </xdr:from>
        <xdr:to>
          <xdr:col>2</xdr:col>
          <xdr:colOff>609600</xdr:colOff>
          <xdr:row>5</xdr:row>
          <xdr:rowOff>9525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9525</xdr:rowOff>
        </xdr:from>
        <xdr:to>
          <xdr:col>2</xdr:col>
          <xdr:colOff>514350</xdr:colOff>
          <xdr:row>4</xdr:row>
          <xdr:rowOff>171450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xdr:row>
          <xdr:rowOff>180975</xdr:rowOff>
        </xdr:from>
        <xdr:to>
          <xdr:col>4</xdr:col>
          <xdr:colOff>628650</xdr:colOff>
          <xdr:row>4</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Requirement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AC54A1-BB47-4A47-8EF8-59F3CAFB7B8B}" name="Journal_Table" displayName="Journal_Table" ref="B8:F12" totalsRowShown="0">
  <autoFilter ref="B8:F12" xr:uid="{1D79363E-8281-48E0-BB62-A00F89AE2421}"/>
  <tableColumns count="5">
    <tableColumn id="1" xr3:uid="{46921AF8-C58C-4E5E-AA44-CFAAA29D1900}" name="ID" dataDxfId="4"/>
    <tableColumn id="2" xr3:uid="{5ECFCE73-F175-4020-A3F9-20A2898A97F3}" name="Date" dataDxfId="3"/>
    <tableColumn id="3" xr3:uid="{0FBA735A-C782-4A40-B662-99EA202B5DB7}" name="Time" dataDxfId="2"/>
    <tableColumn id="4" xr3:uid="{CEB2F9AC-0165-495D-886E-BA71A1B19C1A}" name="Author " dataDxfId="1"/>
    <tableColumn id="5" xr3:uid="{9ACD8307-34B3-4144-8982-57ED7108D9B7}" name="Conten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2A0852-FC1A-449B-9402-DC6A4D5A884A}" name="Table2" displayName="Table2" ref="B8:G9" totalsRowShown="0">
  <autoFilter ref="B8:G9" xr:uid="{AB288BBE-F31C-4632-B3B8-B518A647FA26}"/>
  <tableColumns count="6">
    <tableColumn id="1" xr3:uid="{7D9BDED5-C50B-42EB-8D1E-26AF154C7D7D}" name="ID"/>
    <tableColumn id="2" xr3:uid="{D85174B6-E438-4112-88BF-45331DA845EA}" name="Date"/>
    <tableColumn id="3" xr3:uid="{92DA920C-9442-4979-8BEF-A6692FA0FCF2}" name="Time"/>
    <tableColumn id="4" xr3:uid="{31982887-6333-47CF-9019-498D74B4A61F}" name="Item "/>
    <tableColumn id="5" xr3:uid="{E5879B83-6C6F-4DAF-91F5-70A60E28B680}" name="Price"/>
    <tableColumn id="6" xr3:uid="{765EC17A-E7D1-4E17-A068-A2997EC7C238}" name="Link"/>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28D582-98AB-4464-B78B-394B06C10DF0}" name="Table3" displayName="Table3" ref="B8:G9" totalsRowShown="0">
  <autoFilter ref="B8:G9" xr:uid="{831723B0-B090-4907-A33C-EBC54A23B4C8}"/>
  <tableColumns count="6">
    <tableColumn id="1" xr3:uid="{9410A11F-AD95-4DB4-A7F7-1AE343E010E0}" name="ID"/>
    <tableColumn id="2" xr3:uid="{8EFB8ECB-45D6-4D9C-9459-562316ACC0C5}" name="Author"/>
    <tableColumn id="3" xr3:uid="{361AD58D-51B4-4457-9374-C7FECF24D09F}" name="Item"/>
    <tableColumn id="6" xr3:uid="{28AEA6A3-59EA-478C-BA89-5CF067320556}" name="Quantity"/>
    <tableColumn id="4" xr3:uid="{73780DE2-6397-48EF-B78A-AA413221DD86}" name="Price" dataDxfId="0"/>
    <tableColumn id="5" xr3:uid="{B5267F47-9250-4831-90FC-32281F268404}" name="Link"/>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C423A67-0485-47D6-B054-1CE67EFBF001}" name="Table5" displayName="Table5" ref="B8:I23" totalsRowShown="0">
  <autoFilter ref="B8:I23" xr:uid="{B629538D-50B1-4CC9-AC3F-142A68F9378D}">
    <filterColumn colId="7">
      <filters>
        <filter val="Implemented"/>
      </filters>
    </filterColumn>
  </autoFilter>
  <tableColumns count="8">
    <tableColumn id="1" xr3:uid="{C3D41062-43F3-43C3-81BA-D2D9839413FD}" name="ID" dataDxfId="11"/>
    <tableColumn id="2" xr3:uid="{4B302C0D-15A5-4181-84F3-1C91482FE16C}" name="Date" dataDxfId="10"/>
    <tableColumn id="3" xr3:uid="{1B962525-E669-44FE-8D8B-A3236437BB1B}" name="Time" dataDxfId="9"/>
    <tableColumn id="4" xr3:uid="{54C04204-9DB8-4754-866C-627938243EFA}" name="Author" dataDxfId="8"/>
    <tableColumn id="5" xr3:uid="{D9B9F383-D017-4AB9-8CBB-2BE24E8D7086}" name="Requirement"/>
    <tableColumn id="6" xr3:uid="{7057DF5E-E0B8-4FE2-9862-D0D091AAA8EA}" name="Type" dataDxfId="7"/>
    <tableColumn id="7" xr3:uid="{351EB5DD-DD03-4C51-98EC-4B09159A8FAD}" name="Priority" dataDxfId="6"/>
    <tableColumn id="8" xr3:uid="{40FD1A17-92E8-4ED8-BED5-B147C425A53D}" name="Status" dataDxfId="5"/>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1299CE9-61C9-4591-8994-1D323DA78390}" name="Table4" displayName="Table4" ref="B8:I16" totalsRowShown="0">
  <autoFilter ref="B8:I16" xr:uid="{ECE6F7B8-C632-4D5F-992B-6657B7C09FAA}"/>
  <tableColumns count="8">
    <tableColumn id="1" xr3:uid="{8074F94C-5C86-4798-B26C-5545100607EF}" name="Requirement ID"/>
    <tableColumn id="2" xr3:uid="{08AB39BD-3970-465B-8466-9808A06679F3}" name="Start Date"/>
    <tableColumn id="3" xr3:uid="{71A0839E-776F-4826-AE56-B9311F10D4CD}" name="End Date"/>
    <tableColumn id="4" xr3:uid="{4C643390-17A8-41B8-BBB4-6C2E2AB244D8}" name="Duration ">
      <calculatedColumnFormula>Table4[[#This Row],[End Date]]-Table4[[#This Row],[Start Date]]</calculatedColumnFormula>
    </tableColumn>
    <tableColumn id="5" xr3:uid="{A7D5808E-0A3F-4151-AF1F-7D5B53C3E014}" name="Actual end date"/>
    <tableColumn id="6" xr3:uid="{96206BD1-7AB1-4370-A543-D9515D0326B1}" name="Actual duration ">
      <calculatedColumnFormula>Table4[[#This Row],[Actual end date]]-Table4[[#This Row],[Start Date]]</calculatedColumnFormula>
    </tableColumn>
    <tableColumn id="8" xr3:uid="{7AF4CF86-9238-4275-A9D8-2BE2A114A20C}" name="Progress" dataCellStyle="Percent"/>
    <tableColumn id="7" xr3:uid="{5056775C-D50C-428A-9725-2305FEA60700}" name="Statu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hainguyen.eeit@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DE61C-FDEE-433B-85A8-F55A443DD9FA}">
  <sheetPr codeName="Sheet7"/>
  <dimension ref="B3:B26"/>
  <sheetViews>
    <sheetView showGridLines="0" topLeftCell="A16" workbookViewId="0">
      <selection activeCell="I10" sqref="I10"/>
    </sheetView>
  </sheetViews>
  <sheetFormatPr defaultRowHeight="15" x14ac:dyDescent="0.25"/>
  <cols>
    <col min="2" max="2" width="127.42578125" bestFit="1" customWidth="1"/>
  </cols>
  <sheetData>
    <row r="3" spans="2:2" ht="61.5" x14ac:dyDescent="0.9">
      <c r="B3" s="8" t="s">
        <v>53</v>
      </c>
    </row>
    <row r="5" spans="2:2" ht="26.25" x14ac:dyDescent="0.4">
      <c r="B5" s="15" t="s">
        <v>54</v>
      </c>
    </row>
    <row r="6" spans="2:2" ht="105" x14ac:dyDescent="0.25">
      <c r="B6" s="9" t="s">
        <v>62</v>
      </c>
    </row>
    <row r="7" spans="2:2" x14ac:dyDescent="0.25">
      <c r="B7" s="9"/>
    </row>
    <row r="8" spans="2:2" ht="26.25" x14ac:dyDescent="0.4">
      <c r="B8" s="14" t="s">
        <v>60</v>
      </c>
    </row>
    <row r="9" spans="2:2" ht="18.75" x14ac:dyDescent="0.3">
      <c r="B9" s="13" t="s">
        <v>61</v>
      </c>
    </row>
    <row r="10" spans="2:2" ht="225" x14ac:dyDescent="0.25">
      <c r="B10" s="12" t="s">
        <v>65</v>
      </c>
    </row>
    <row r="12" spans="2:2" ht="18.75" x14ac:dyDescent="0.3">
      <c r="B12" s="13" t="s">
        <v>63</v>
      </c>
    </row>
    <row r="13" spans="2:2" ht="45" x14ac:dyDescent="0.25">
      <c r="B13" s="12" t="s">
        <v>66</v>
      </c>
    </row>
    <row r="15" spans="2:2" ht="18.75" x14ac:dyDescent="0.3">
      <c r="B15" s="13" t="s">
        <v>67</v>
      </c>
    </row>
    <row r="16" spans="2:2" ht="45" x14ac:dyDescent="0.25">
      <c r="B16" s="12" t="s">
        <v>68</v>
      </c>
    </row>
    <row r="18" spans="2:2" ht="18.75" x14ac:dyDescent="0.3">
      <c r="B18" s="13" t="s">
        <v>69</v>
      </c>
    </row>
    <row r="19" spans="2:2" ht="207.75" customHeight="1" x14ac:dyDescent="0.25">
      <c r="B19" s="12" t="s">
        <v>71</v>
      </c>
    </row>
    <row r="20" spans="2:2" ht="16.5" customHeight="1" x14ac:dyDescent="0.25">
      <c r="B20" s="12"/>
    </row>
    <row r="21" spans="2:2" ht="195" x14ac:dyDescent="0.25">
      <c r="B21" s="18" t="s">
        <v>72</v>
      </c>
    </row>
    <row r="22" spans="2:2" ht="21" x14ac:dyDescent="0.35">
      <c r="B22" s="16" t="s">
        <v>70</v>
      </c>
    </row>
    <row r="23" spans="2:2" ht="195" x14ac:dyDescent="0.25">
      <c r="B23" s="17" t="s">
        <v>73</v>
      </c>
    </row>
    <row r="24" spans="2:2" ht="26.25" x14ac:dyDescent="0.4">
      <c r="B24" s="14" t="s">
        <v>74</v>
      </c>
    </row>
    <row r="25" spans="2:2" ht="15.75" x14ac:dyDescent="0.25">
      <c r="B25" s="19" t="s">
        <v>75</v>
      </c>
    </row>
    <row r="26" spans="2:2" ht="15.75" x14ac:dyDescent="0.25">
      <c r="B26" s="20" t="s">
        <v>76</v>
      </c>
    </row>
  </sheetData>
  <hyperlinks>
    <hyperlink ref="B26" r:id="rId1" xr:uid="{245C403C-68F2-4B44-9843-66605ED7A0D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12"/>
  <sheetViews>
    <sheetView showGridLines="0" topLeftCell="A4" workbookViewId="0">
      <selection activeCell="F19" sqref="F19"/>
    </sheetView>
  </sheetViews>
  <sheetFormatPr defaultRowHeight="15" x14ac:dyDescent="0.25"/>
  <cols>
    <col min="2" max="2" width="9.140625" style="27"/>
    <col min="3" max="3" width="10.140625" style="27" bestFit="1" customWidth="1"/>
    <col min="4" max="4" width="11.5703125" style="27" bestFit="1" customWidth="1"/>
    <col min="5" max="5" width="22.85546875" style="27" customWidth="1"/>
    <col min="6" max="6" width="62.85546875" customWidth="1"/>
  </cols>
  <sheetData>
    <row r="2" spans="2:6" ht="61.5" x14ac:dyDescent="0.25">
      <c r="B2" s="26" t="s">
        <v>5</v>
      </c>
    </row>
    <row r="8" spans="2:6" x14ac:dyDescent="0.25">
      <c r="B8" s="27" t="s">
        <v>4</v>
      </c>
      <c r="C8" s="27" t="s">
        <v>0</v>
      </c>
      <c r="D8" s="27" t="s">
        <v>1</v>
      </c>
      <c r="E8" s="27" t="s">
        <v>2</v>
      </c>
      <c r="F8" t="s">
        <v>3</v>
      </c>
    </row>
    <row r="9" spans="2:6" x14ac:dyDescent="0.25">
      <c r="B9" s="27" t="s">
        <v>111</v>
      </c>
      <c r="C9" s="28">
        <v>43742</v>
      </c>
      <c r="D9" s="29">
        <v>0.68255787037037041</v>
      </c>
      <c r="E9" s="27" t="s">
        <v>75</v>
      </c>
      <c r="F9" t="s">
        <v>112</v>
      </c>
    </row>
    <row r="10" spans="2:6" ht="135" x14ac:dyDescent="0.25">
      <c r="B10" s="27" t="s">
        <v>114</v>
      </c>
      <c r="C10" s="28">
        <v>43742</v>
      </c>
      <c r="D10" s="29">
        <v>0.73812500000000003</v>
      </c>
      <c r="E10" s="27" t="s">
        <v>75</v>
      </c>
      <c r="F10" s="12" t="s">
        <v>115</v>
      </c>
    </row>
    <row r="11" spans="2:6" ht="75" x14ac:dyDescent="0.25">
      <c r="B11" s="27" t="s">
        <v>116</v>
      </c>
      <c r="C11" s="28">
        <v>43742</v>
      </c>
      <c r="D11" s="29">
        <v>0.74052083333333341</v>
      </c>
      <c r="E11" s="27" t="s">
        <v>75</v>
      </c>
      <c r="F11" s="12" t="s">
        <v>119</v>
      </c>
    </row>
    <row r="12" spans="2:6" x14ac:dyDescent="0.25">
      <c r="B12" s="27" t="s">
        <v>117</v>
      </c>
      <c r="C12" s="28">
        <v>43742</v>
      </c>
      <c r="D12" s="29">
        <v>0.74130787037037038</v>
      </c>
      <c r="E12" s="27" t="s">
        <v>75</v>
      </c>
      <c r="F12" t="s">
        <v>118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1_Click">
                <anchor>
                  <from>
                    <xdr:col>1</xdr:col>
                    <xdr:colOff>0</xdr:colOff>
                    <xdr:row>2</xdr:row>
                    <xdr:rowOff>171450</xdr:rowOff>
                  </from>
                  <to>
                    <xdr:col>3</xdr:col>
                    <xdr:colOff>0</xdr:colOff>
                    <xdr:row>5</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Button2_Click">
                <anchor moveWithCells="1" sizeWithCells="1">
                  <from>
                    <xdr:col>3</xdr:col>
                    <xdr:colOff>504825</xdr:colOff>
                    <xdr:row>2</xdr:row>
                    <xdr:rowOff>180975</xdr:rowOff>
                  </from>
                  <to>
                    <xdr:col>4</xdr:col>
                    <xdr:colOff>1047750</xdr:colOff>
                    <xdr:row>5</xdr:row>
                    <xdr:rowOff>9525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EE6A6-3D2C-4229-B442-57C91EDDF93C}">
  <sheetPr codeName="Sheet2"/>
  <dimension ref="B2:G9"/>
  <sheetViews>
    <sheetView showGridLines="0" workbookViewId="0">
      <selection activeCell="F31" sqref="F31"/>
    </sheetView>
  </sheetViews>
  <sheetFormatPr defaultRowHeight="15" x14ac:dyDescent="0.25"/>
  <cols>
    <col min="3" max="3" width="10.140625" bestFit="1" customWidth="1"/>
    <col min="4" max="4" width="12.7109375" customWidth="1"/>
    <col min="5" max="5" width="16.28515625" bestFit="1" customWidth="1"/>
    <col min="6" max="6" width="50.5703125" bestFit="1" customWidth="1"/>
    <col min="7" max="7" width="50.7109375" customWidth="1"/>
  </cols>
  <sheetData>
    <row r="2" spans="2:7" ht="61.5" x14ac:dyDescent="0.9">
      <c r="B2" s="1" t="s">
        <v>8</v>
      </c>
    </row>
    <row r="8" spans="2:7" x14ac:dyDescent="0.25">
      <c r="B8" t="s">
        <v>4</v>
      </c>
      <c r="C8" t="s">
        <v>0</v>
      </c>
      <c r="D8" t="s">
        <v>1</v>
      </c>
      <c r="E8" t="s">
        <v>9</v>
      </c>
      <c r="F8" t="s">
        <v>10</v>
      </c>
      <c r="G8" t="s">
        <v>11</v>
      </c>
    </row>
    <row r="9" spans="2:7" x14ac:dyDescent="0.25">
      <c r="B9" t="s">
        <v>107</v>
      </c>
      <c r="C9" s="2">
        <v>43742</v>
      </c>
      <c r="D9" s="4">
        <v>0.68166666666666664</v>
      </c>
      <c r="E9" t="s">
        <v>108</v>
      </c>
      <c r="F9" t="s">
        <v>110</v>
      </c>
      <c r="G9" t="s">
        <v>109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stTracking_Button1_Click">
                <anchor moveWithCells="1" sizeWithCells="1">
                  <from>
                    <xdr:col>0</xdr:col>
                    <xdr:colOff>590550</xdr:colOff>
                    <xdr:row>3</xdr:row>
                    <xdr:rowOff>9525</xdr:rowOff>
                  </from>
                  <to>
                    <xdr:col>2</xdr:col>
                    <xdr:colOff>561975</xdr:colOff>
                    <xdr:row>5</xdr:row>
                    <xdr:rowOff>76200</xdr:rowOff>
                  </to>
                </anchor>
              </controlPr>
            </control>
          </mc:Choice>
        </mc:AlternateContent>
        <mc:AlternateContent xmlns:mc="http://schemas.openxmlformats.org/markup-compatibility/2006">
          <mc:Choice Requires="x14">
            <control shapeId="2050" r:id="rId4" name="Button 2">
              <controlPr defaultSize="0" print="0" autoFill="0" autoPict="0" macro="[0]!CostTracking_Button2_Click">
                <anchor moveWithCells="1" sizeWithCells="1">
                  <from>
                    <xdr:col>3</xdr:col>
                    <xdr:colOff>266700</xdr:colOff>
                    <xdr:row>2</xdr:row>
                    <xdr:rowOff>180975</xdr:rowOff>
                  </from>
                  <to>
                    <xdr:col>4</xdr:col>
                    <xdr:colOff>704850</xdr:colOff>
                    <xdr:row>5</xdr:row>
                    <xdr:rowOff>85725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3EF9-9827-48F8-9AF4-B37E450B8060}">
  <sheetPr codeName="Sheet3"/>
  <dimension ref="B2:G9"/>
  <sheetViews>
    <sheetView showGridLines="0" workbookViewId="0">
      <selection activeCell="F28" sqref="F28"/>
    </sheetView>
  </sheetViews>
  <sheetFormatPr defaultRowHeight="15" x14ac:dyDescent="0.25"/>
  <cols>
    <col min="3" max="3" width="17.5703125" bestFit="1" customWidth="1"/>
    <col min="4" max="5" width="17.5703125" customWidth="1"/>
    <col min="6" max="6" width="15.85546875" customWidth="1"/>
    <col min="7" max="7" width="45.42578125" customWidth="1"/>
  </cols>
  <sheetData>
    <row r="2" spans="2:7" ht="61.5" x14ac:dyDescent="0.9">
      <c r="B2" s="1" t="s">
        <v>12</v>
      </c>
    </row>
    <row r="8" spans="2:7" x14ac:dyDescent="0.25">
      <c r="B8" t="s">
        <v>4</v>
      </c>
      <c r="C8" t="s">
        <v>14</v>
      </c>
      <c r="D8" t="s">
        <v>13</v>
      </c>
      <c r="E8" t="s">
        <v>120</v>
      </c>
      <c r="F8" t="s">
        <v>10</v>
      </c>
      <c r="G8" t="s">
        <v>11</v>
      </c>
    </row>
    <row r="9" spans="2:7" x14ac:dyDescent="0.25">
      <c r="B9" t="s">
        <v>121</v>
      </c>
      <c r="C9" t="s">
        <v>75</v>
      </c>
      <c r="D9" t="s">
        <v>122</v>
      </c>
      <c r="E9">
        <v>1</v>
      </c>
      <c r="F9" s="30" t="s">
        <v>123</v>
      </c>
      <c r="G9" t="s">
        <v>109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illOfMaterial_Button1_Click">
                <anchor moveWithCells="1" sizeWithCells="1">
                  <from>
                    <xdr:col>3</xdr:col>
                    <xdr:colOff>190500</xdr:colOff>
                    <xdr:row>3</xdr:row>
                    <xdr:rowOff>9525</xdr:rowOff>
                  </from>
                  <to>
                    <xdr:col>4</xdr:col>
                    <xdr:colOff>381000</xdr:colOff>
                    <xdr:row>5</xdr:row>
                    <xdr:rowOff>0</xdr:rowOff>
                  </to>
                </anchor>
              </controlPr>
            </control>
          </mc:Choice>
        </mc:AlternateContent>
        <mc:AlternateContent xmlns:mc="http://schemas.openxmlformats.org/markup-compatibility/2006">
          <mc:Choice Requires="x14">
            <control shapeId="3075" r:id="rId4" name="Button 3">
              <controlPr defaultSize="0" print="0" autoFill="0" autoPict="0" macro="[0]!Button3_Click">
                <anchor moveWithCells="1" sizeWithCells="1">
                  <from>
                    <xdr:col>0</xdr:col>
                    <xdr:colOff>600075</xdr:colOff>
                    <xdr:row>3</xdr:row>
                    <xdr:rowOff>9525</xdr:rowOff>
                  </from>
                  <to>
                    <xdr:col>2</xdr:col>
                    <xdr:colOff>609600</xdr:colOff>
                    <xdr:row>5</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35BE-229F-4FFD-9F0D-110DD929C0B5}">
  <sheetPr codeName="Sheet4"/>
  <dimension ref="B2:I23"/>
  <sheetViews>
    <sheetView showGridLines="0" workbookViewId="0">
      <selection activeCell="M15" sqref="M15"/>
    </sheetView>
  </sheetViews>
  <sheetFormatPr defaultRowHeight="15" x14ac:dyDescent="0.25"/>
  <cols>
    <col min="2" max="2" width="11.5703125" style="22" customWidth="1"/>
    <col min="3" max="3" width="13.28515625" style="22" customWidth="1"/>
    <col min="4" max="4" width="11.5703125" style="22" bestFit="1" customWidth="1"/>
    <col min="5" max="5" width="17.5703125" style="22" bestFit="1" customWidth="1"/>
    <col min="6" max="6" width="81.5703125" bestFit="1" customWidth="1"/>
    <col min="7" max="7" width="14.5703125" style="22" bestFit="1" customWidth="1"/>
    <col min="8" max="8" width="12.85546875" style="22" customWidth="1"/>
    <col min="9" max="9" width="17.42578125" style="22" bestFit="1" customWidth="1"/>
    <col min="13" max="13" width="19.85546875" customWidth="1"/>
    <col min="14" max="14" width="34" customWidth="1"/>
  </cols>
  <sheetData>
    <row r="2" spans="2:9" ht="61.5" x14ac:dyDescent="0.25">
      <c r="B2" s="21" t="s">
        <v>25</v>
      </c>
    </row>
    <row r="8" spans="2:9" x14ac:dyDescent="0.25">
      <c r="B8" s="22" t="s">
        <v>4</v>
      </c>
      <c r="C8" s="22" t="s">
        <v>0</v>
      </c>
      <c r="D8" s="22" t="s">
        <v>1</v>
      </c>
      <c r="E8" s="22" t="s">
        <v>14</v>
      </c>
      <c r="F8" t="s">
        <v>16</v>
      </c>
      <c r="G8" s="22" t="s">
        <v>26</v>
      </c>
      <c r="H8" s="22" t="s">
        <v>27</v>
      </c>
      <c r="I8" s="22" t="s">
        <v>20</v>
      </c>
    </row>
    <row r="9" spans="2:9" ht="30" x14ac:dyDescent="0.25">
      <c r="B9" s="22" t="s">
        <v>77</v>
      </c>
      <c r="C9" s="23">
        <v>43742</v>
      </c>
      <c r="D9" s="24">
        <v>0.7397800925925927</v>
      </c>
      <c r="E9" s="22" t="s">
        <v>75</v>
      </c>
      <c r="F9" s="12" t="s">
        <v>78</v>
      </c>
      <c r="G9" s="22" t="s">
        <v>29</v>
      </c>
      <c r="H9" s="22" t="s">
        <v>36</v>
      </c>
      <c r="I9" s="22" t="s">
        <v>35</v>
      </c>
    </row>
    <row r="10" spans="2:9" ht="30" hidden="1" x14ac:dyDescent="0.25">
      <c r="B10" s="22" t="s">
        <v>79</v>
      </c>
      <c r="C10" s="23">
        <v>43742</v>
      </c>
      <c r="D10" s="24">
        <v>0.73645833333333333</v>
      </c>
      <c r="E10" s="22" t="s">
        <v>75</v>
      </c>
      <c r="F10" s="12" t="s">
        <v>80</v>
      </c>
      <c r="G10" s="22" t="s">
        <v>29</v>
      </c>
      <c r="H10" s="22" t="s">
        <v>36</v>
      </c>
      <c r="I10" s="22" t="s">
        <v>30</v>
      </c>
    </row>
    <row r="11" spans="2:9" hidden="1" x14ac:dyDescent="0.25">
      <c r="B11" s="22" t="s">
        <v>81</v>
      </c>
      <c r="C11" s="23">
        <v>43742</v>
      </c>
      <c r="D11" s="24">
        <v>0.73753472222222216</v>
      </c>
      <c r="E11" s="22" t="s">
        <v>75</v>
      </c>
      <c r="F11" t="s">
        <v>82</v>
      </c>
      <c r="G11" s="22" t="s">
        <v>29</v>
      </c>
      <c r="H11" s="22" t="s">
        <v>36</v>
      </c>
      <c r="I11" s="22" t="s">
        <v>37</v>
      </c>
    </row>
    <row r="12" spans="2:9" hidden="1" x14ac:dyDescent="0.25">
      <c r="B12" s="22" t="s">
        <v>83</v>
      </c>
      <c r="C12" s="23">
        <v>43742</v>
      </c>
      <c r="D12" s="24">
        <v>0.73651620370370363</v>
      </c>
      <c r="E12" s="22" t="s">
        <v>75</v>
      </c>
      <c r="F12" t="s">
        <v>84</v>
      </c>
      <c r="G12" s="22" t="s">
        <v>29</v>
      </c>
      <c r="H12" s="22" t="s">
        <v>36</v>
      </c>
      <c r="I12" s="22" t="s">
        <v>30</v>
      </c>
    </row>
    <row r="13" spans="2:9" ht="150" hidden="1" x14ac:dyDescent="0.25">
      <c r="B13" s="22" t="s">
        <v>85</v>
      </c>
      <c r="C13" s="23">
        <v>43742</v>
      </c>
      <c r="D13" s="24">
        <v>0.73653935185185182</v>
      </c>
      <c r="E13" s="22" t="s">
        <v>75</v>
      </c>
      <c r="F13" s="12" t="s">
        <v>86</v>
      </c>
      <c r="G13" s="22" t="s">
        <v>39</v>
      </c>
      <c r="H13" s="22" t="s">
        <v>36</v>
      </c>
      <c r="I13" s="22" t="s">
        <v>37</v>
      </c>
    </row>
    <row r="14" spans="2:9" x14ac:dyDescent="0.25">
      <c r="B14" s="22" t="s">
        <v>87</v>
      </c>
      <c r="C14" s="23">
        <v>43742</v>
      </c>
      <c r="D14" s="24">
        <v>0.73935185185185182</v>
      </c>
      <c r="E14" s="22" t="s">
        <v>75</v>
      </c>
      <c r="F14" t="s">
        <v>88</v>
      </c>
      <c r="G14" s="22" t="s">
        <v>29</v>
      </c>
      <c r="H14" s="22" t="s">
        <v>36</v>
      </c>
      <c r="I14" s="22" t="s">
        <v>35</v>
      </c>
    </row>
    <row r="15" spans="2:9" x14ac:dyDescent="0.25">
      <c r="B15" s="22" t="s">
        <v>89</v>
      </c>
      <c r="C15" s="23">
        <v>43742</v>
      </c>
      <c r="D15" s="24">
        <v>0.73960648148148145</v>
      </c>
      <c r="E15" s="22" t="s">
        <v>75</v>
      </c>
      <c r="F15" t="s">
        <v>90</v>
      </c>
      <c r="G15" s="22" t="s">
        <v>29</v>
      </c>
      <c r="H15" s="22" t="s">
        <v>31</v>
      </c>
      <c r="I15" s="22" t="s">
        <v>35</v>
      </c>
    </row>
    <row r="16" spans="2:9" hidden="1" x14ac:dyDescent="0.25">
      <c r="B16" s="22" t="s">
        <v>91</v>
      </c>
      <c r="C16" s="23">
        <v>43742</v>
      </c>
      <c r="D16" s="24">
        <v>0.73701388888888886</v>
      </c>
      <c r="E16" s="22" t="s">
        <v>75</v>
      </c>
      <c r="F16" t="s">
        <v>92</v>
      </c>
      <c r="G16" s="22" t="s">
        <v>29</v>
      </c>
      <c r="H16" s="22" t="s">
        <v>36</v>
      </c>
      <c r="I16" s="22" t="s">
        <v>30</v>
      </c>
    </row>
    <row r="17" spans="2:9" hidden="1" x14ac:dyDescent="0.25">
      <c r="B17" s="22" t="s">
        <v>93</v>
      </c>
      <c r="C17" s="23">
        <v>43742</v>
      </c>
      <c r="D17" s="24">
        <v>0.73703703703703705</v>
      </c>
      <c r="E17" s="22" t="s">
        <v>75</v>
      </c>
      <c r="F17" t="s">
        <v>94</v>
      </c>
      <c r="G17" s="22" t="s">
        <v>29</v>
      </c>
      <c r="H17" s="22" t="s">
        <v>36</v>
      </c>
      <c r="I17" s="22" t="s">
        <v>30</v>
      </c>
    </row>
    <row r="18" spans="2:9" hidden="1" x14ac:dyDescent="0.25">
      <c r="B18" s="22" t="s">
        <v>95</v>
      </c>
      <c r="C18" s="23">
        <v>43742</v>
      </c>
      <c r="D18" s="24">
        <v>0.67921296296296296</v>
      </c>
      <c r="E18" s="22" t="s">
        <v>75</v>
      </c>
      <c r="F18" t="s">
        <v>96</v>
      </c>
      <c r="G18" s="22" t="s">
        <v>29</v>
      </c>
      <c r="H18" s="22" t="s">
        <v>31</v>
      </c>
      <c r="I18" s="22" t="s">
        <v>34</v>
      </c>
    </row>
    <row r="19" spans="2:9" ht="135" hidden="1" x14ac:dyDescent="0.25">
      <c r="B19" s="22" t="s">
        <v>97</v>
      </c>
      <c r="C19" s="23">
        <v>43742</v>
      </c>
      <c r="D19" s="24">
        <v>0.67960648148148151</v>
      </c>
      <c r="E19" s="22" t="s">
        <v>75</v>
      </c>
      <c r="F19" s="12" t="s">
        <v>98</v>
      </c>
      <c r="G19" s="22" t="s">
        <v>39</v>
      </c>
      <c r="H19" s="22" t="s">
        <v>36</v>
      </c>
      <c r="I19" s="22" t="s">
        <v>34</v>
      </c>
    </row>
    <row r="20" spans="2:9" x14ac:dyDescent="0.25">
      <c r="B20" s="22" t="s">
        <v>99</v>
      </c>
      <c r="C20" s="23">
        <v>43742</v>
      </c>
      <c r="D20" s="24">
        <v>0.73969907407407398</v>
      </c>
      <c r="E20" s="22" t="s">
        <v>75</v>
      </c>
      <c r="F20" t="s">
        <v>100</v>
      </c>
      <c r="G20" s="22" t="s">
        <v>29</v>
      </c>
      <c r="H20" s="22" t="s">
        <v>36</v>
      </c>
      <c r="I20" s="22" t="s">
        <v>35</v>
      </c>
    </row>
    <row r="21" spans="2:9" hidden="1" x14ac:dyDescent="0.25">
      <c r="B21" s="22" t="s">
        <v>101</v>
      </c>
      <c r="C21" s="23">
        <v>43742</v>
      </c>
      <c r="D21" s="24">
        <v>0.73719907407407403</v>
      </c>
      <c r="E21" s="22" t="s">
        <v>75</v>
      </c>
      <c r="F21" t="s">
        <v>102</v>
      </c>
      <c r="G21" s="22" t="s">
        <v>29</v>
      </c>
      <c r="H21" s="22" t="s">
        <v>36</v>
      </c>
      <c r="I21" s="22" t="s">
        <v>30</v>
      </c>
    </row>
    <row r="22" spans="2:9" ht="75" hidden="1" x14ac:dyDescent="0.25">
      <c r="B22" s="22" t="s">
        <v>103</v>
      </c>
      <c r="C22" s="23">
        <v>43742</v>
      </c>
      <c r="D22" s="24">
        <v>0.73722222222222233</v>
      </c>
      <c r="E22" s="22" t="s">
        <v>75</v>
      </c>
      <c r="F22" s="12" t="s">
        <v>104</v>
      </c>
      <c r="G22" s="22" t="s">
        <v>32</v>
      </c>
      <c r="H22" s="22" t="s">
        <v>31</v>
      </c>
      <c r="I22" s="22" t="s">
        <v>37</v>
      </c>
    </row>
    <row r="23" spans="2:9" ht="90" hidden="1" x14ac:dyDescent="0.25">
      <c r="B23" s="22" t="s">
        <v>105</v>
      </c>
      <c r="C23" s="23">
        <v>43742</v>
      </c>
      <c r="D23" s="24">
        <v>0.73762731481481481</v>
      </c>
      <c r="E23" s="22" t="s">
        <v>75</v>
      </c>
      <c r="F23" s="12" t="s">
        <v>106</v>
      </c>
      <c r="G23" s="22" t="s">
        <v>29</v>
      </c>
      <c r="H23" s="22" t="s">
        <v>41</v>
      </c>
      <c r="I23" s="22" t="s">
        <v>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quirement_Button1_Click">
                <anchor moveWithCells="1" sizeWithCells="1">
                  <from>
                    <xdr:col>1</xdr:col>
                    <xdr:colOff>9525</xdr:colOff>
                    <xdr:row>3</xdr:row>
                    <xdr:rowOff>9525</xdr:rowOff>
                  </from>
                  <to>
                    <xdr:col>2</xdr:col>
                    <xdr:colOff>514350</xdr:colOff>
                    <xdr:row>4</xdr:row>
                    <xdr:rowOff>171450</xdr:rowOff>
                  </to>
                </anchor>
              </controlPr>
            </control>
          </mc:Choice>
        </mc:AlternateContent>
        <mc:AlternateContent xmlns:mc="http://schemas.openxmlformats.org/markup-compatibility/2006">
          <mc:Choice Requires="x14">
            <control shapeId="5122" r:id="rId4" name="Button 2">
              <controlPr defaultSize="0" print="0" autoFill="0" autoPict="0" macro="[0]!Requirement_Button2_Click">
                <anchor moveWithCells="1" sizeWithCells="1">
                  <from>
                    <xdr:col>3</xdr:col>
                    <xdr:colOff>47625</xdr:colOff>
                    <xdr:row>2</xdr:row>
                    <xdr:rowOff>180975</xdr:rowOff>
                  </from>
                  <to>
                    <xdr:col>4</xdr:col>
                    <xdr:colOff>628650</xdr:colOff>
                    <xdr:row>4</xdr:row>
                    <xdr:rowOff>161925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59C2295A-BD24-4113-878E-4C9C2E232701}">
          <x14:formula1>
            <xm:f>Internal!$B$13:$B$16</xm:f>
          </x14:formula1>
          <xm:sqref>I9:I1048576</xm:sqref>
        </x14:dataValidation>
        <x14:dataValidation type="list" allowBlank="1" showInputMessage="1" showErrorMessage="1" xr:uid="{22B209D7-7EB1-485E-BA5A-9FE0E70CDC48}">
          <x14:formula1>
            <xm:f>Internal!$B$24:$B$27</xm:f>
          </x14:formula1>
          <xm:sqref>H9:H1048576</xm:sqref>
        </x14:dataValidation>
        <x14:dataValidation type="list" allowBlank="1" showInputMessage="1" showErrorMessage="1" xr:uid="{C72537CE-4F85-47BD-BA16-D334D6EF1650}">
          <x14:formula1>
            <xm:f>Internal!$B$19:$B$21</xm:f>
          </x14:formula1>
          <xm:sqref>G9:G1048576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BA8AE-2972-4604-90D5-C401176691D7}">
  <sheetPr codeName="Sheet5"/>
  <dimension ref="B1:I20"/>
  <sheetViews>
    <sheetView showGridLines="0" tabSelected="1" workbookViewId="0">
      <selection activeCell="F25" sqref="F25"/>
    </sheetView>
  </sheetViews>
  <sheetFormatPr defaultRowHeight="15" x14ac:dyDescent="0.25"/>
  <cols>
    <col min="2" max="2" width="17.140625" customWidth="1"/>
    <col min="3" max="3" width="14.7109375" customWidth="1"/>
    <col min="4" max="4" width="14.85546875" customWidth="1"/>
    <col min="5" max="5" width="12.85546875" customWidth="1"/>
    <col min="6" max="6" width="17" customWidth="1"/>
    <col min="7" max="7" width="18.140625" customWidth="1"/>
    <col min="8" max="8" width="13.140625" style="7" customWidth="1"/>
    <col min="9" max="9" width="12.7109375" bestFit="1" customWidth="1"/>
    <col min="18" max="18" width="10.140625" bestFit="1" customWidth="1"/>
  </cols>
  <sheetData>
    <row r="1" spans="2:9" x14ac:dyDescent="0.25">
      <c r="H1"/>
    </row>
    <row r="2" spans="2:9" x14ac:dyDescent="0.25">
      <c r="H2"/>
    </row>
    <row r="3" spans="2:9" ht="61.5" x14ac:dyDescent="0.9">
      <c r="B3" s="1" t="s">
        <v>28</v>
      </c>
    </row>
    <row r="4" spans="2:9" x14ac:dyDescent="0.25">
      <c r="H4"/>
    </row>
    <row r="5" spans="2:9" x14ac:dyDescent="0.25">
      <c r="H5"/>
    </row>
    <row r="6" spans="2:9" x14ac:dyDescent="0.25">
      <c r="H6"/>
    </row>
    <row r="7" spans="2:9" x14ac:dyDescent="0.25">
      <c r="H7"/>
    </row>
    <row r="8" spans="2:9" x14ac:dyDescent="0.25">
      <c r="B8" t="s">
        <v>17</v>
      </c>
      <c r="C8" t="s">
        <v>18</v>
      </c>
      <c r="D8" t="s">
        <v>19</v>
      </c>
      <c r="E8" t="s">
        <v>21</v>
      </c>
      <c r="F8" t="s">
        <v>22</v>
      </c>
      <c r="G8" t="s">
        <v>23</v>
      </c>
      <c r="H8" t="s">
        <v>24</v>
      </c>
      <c r="I8" t="s">
        <v>20</v>
      </c>
    </row>
    <row r="9" spans="2:9" x14ac:dyDescent="0.25">
      <c r="B9" t="s">
        <v>77</v>
      </c>
      <c r="C9" s="2">
        <v>43742</v>
      </c>
      <c r="D9" s="2">
        <v>43745</v>
      </c>
      <c r="E9">
        <f>Table4[[#This Row],[End Date]]-Table4[[#This Row],[Start Date]]</f>
        <v>3</v>
      </c>
      <c r="F9" s="2">
        <v>43748</v>
      </c>
      <c r="G9">
        <f>Table4[[#This Row],[Actual end date]]-Table4[[#This Row],[Start Date]]</f>
        <v>6</v>
      </c>
      <c r="H9" s="7">
        <v>1</v>
      </c>
      <c r="I9" t="s">
        <v>125</v>
      </c>
    </row>
    <row r="10" spans="2:9" x14ac:dyDescent="0.25">
      <c r="B10" t="s">
        <v>85</v>
      </c>
      <c r="C10" s="2">
        <v>43742</v>
      </c>
      <c r="D10" s="2">
        <v>43748</v>
      </c>
      <c r="E10">
        <f>Table4[[#This Row],[End Date]]-Table4[[#This Row],[Start Date]]</f>
        <v>6</v>
      </c>
      <c r="F10" s="2">
        <v>43742</v>
      </c>
      <c r="G10">
        <f>Table4[[#This Row],[Actual end date]]-Table4[[#This Row],[Start Date]]</f>
        <v>0</v>
      </c>
      <c r="H10" s="7">
        <v>0.25</v>
      </c>
      <c r="I10" t="s">
        <v>113</v>
      </c>
    </row>
    <row r="11" spans="2:9" x14ac:dyDescent="0.25">
      <c r="B11" t="s">
        <v>87</v>
      </c>
      <c r="C11" s="2">
        <v>43742</v>
      </c>
      <c r="D11" s="2">
        <v>43745</v>
      </c>
      <c r="E11">
        <f>Table4[[#This Row],[End Date]]-Table4[[#This Row],[Start Date]]</f>
        <v>3</v>
      </c>
      <c r="F11" s="2">
        <v>43744</v>
      </c>
      <c r="G11">
        <f>Table4[[#This Row],[Actual end date]]-Table4[[#This Row],[Start Date]]</f>
        <v>2</v>
      </c>
      <c r="H11" s="7">
        <v>1</v>
      </c>
      <c r="I11" t="s">
        <v>124</v>
      </c>
    </row>
    <row r="12" spans="2:9" x14ac:dyDescent="0.25">
      <c r="B12" t="s">
        <v>89</v>
      </c>
      <c r="C12" s="2">
        <v>43742</v>
      </c>
      <c r="D12" s="2">
        <v>43750</v>
      </c>
      <c r="E12">
        <f>Table4[[#This Row],[End Date]]-Table4[[#This Row],[Start Date]]</f>
        <v>8</v>
      </c>
      <c r="F12" s="2">
        <v>43750</v>
      </c>
      <c r="G12">
        <f>Table4[[#This Row],[Actual end date]]-Table4[[#This Row],[Start Date]]</f>
        <v>8</v>
      </c>
      <c r="H12" s="7">
        <v>1</v>
      </c>
      <c r="I12" t="s">
        <v>124</v>
      </c>
    </row>
    <row r="13" spans="2:9" x14ac:dyDescent="0.25">
      <c r="B13" t="s">
        <v>99</v>
      </c>
      <c r="C13" s="2">
        <v>43742</v>
      </c>
      <c r="D13" s="2">
        <v>43748</v>
      </c>
      <c r="E13">
        <f>Table4[[#This Row],[End Date]]-Table4[[#This Row],[Start Date]]</f>
        <v>6</v>
      </c>
      <c r="F13" s="2">
        <v>43749</v>
      </c>
      <c r="G13">
        <f>Table4[[#This Row],[Actual end date]]-Table4[[#This Row],[Start Date]]</f>
        <v>7</v>
      </c>
      <c r="H13" s="7">
        <v>1</v>
      </c>
      <c r="I13" t="s">
        <v>125</v>
      </c>
    </row>
    <row r="14" spans="2:9" x14ac:dyDescent="0.25">
      <c r="B14" t="s">
        <v>103</v>
      </c>
      <c r="C14" s="2">
        <v>43742</v>
      </c>
      <c r="D14" s="2">
        <v>43761</v>
      </c>
      <c r="E14">
        <f>Table4[[#This Row],[End Date]]-Table4[[#This Row],[Start Date]]</f>
        <v>19</v>
      </c>
      <c r="F14" s="2">
        <v>43742</v>
      </c>
      <c r="G14">
        <f>Table4[[#This Row],[Actual end date]]-Table4[[#This Row],[Start Date]]</f>
        <v>0</v>
      </c>
      <c r="H14" s="7">
        <v>0.75</v>
      </c>
      <c r="I14" t="s">
        <v>113</v>
      </c>
    </row>
    <row r="15" spans="2:9" x14ac:dyDescent="0.25">
      <c r="B15" t="s">
        <v>81</v>
      </c>
      <c r="C15" s="2">
        <v>43742</v>
      </c>
      <c r="D15" s="2">
        <v>43747</v>
      </c>
      <c r="E15">
        <f>Table4[[#This Row],[End Date]]-Table4[[#This Row],[Start Date]]</f>
        <v>5</v>
      </c>
      <c r="F15" s="2">
        <v>43742</v>
      </c>
      <c r="G15">
        <f>Table4[[#This Row],[Actual end date]]-Table4[[#This Row],[Start Date]]</f>
        <v>0</v>
      </c>
      <c r="H15" s="7">
        <v>0.5</v>
      </c>
      <c r="I15" t="s">
        <v>113</v>
      </c>
    </row>
    <row r="16" spans="2:9" x14ac:dyDescent="0.25">
      <c r="B16" t="s">
        <v>105</v>
      </c>
      <c r="C16" s="2">
        <v>43742</v>
      </c>
      <c r="D16" s="2">
        <v>43755</v>
      </c>
      <c r="E16">
        <f>Table4[[#This Row],[End Date]]-Table4[[#This Row],[Start Date]]</f>
        <v>13</v>
      </c>
      <c r="F16" s="2">
        <v>43742</v>
      </c>
      <c r="G16">
        <f>Table4[[#This Row],[Actual end date]]-Table4[[#This Row],[Start Date]]</f>
        <v>0</v>
      </c>
      <c r="H16" s="7">
        <v>0</v>
      </c>
      <c r="I16" t="s">
        <v>113</v>
      </c>
    </row>
    <row r="20" spans="6:6" x14ac:dyDescent="0.25">
      <c r="F20" s="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13B33E8B-FB6A-4CCD-BB9A-ADBA04D7A5F1}">
          <x14:formula1>
            <xm:f>Internal!$B$30:$B$34</xm:f>
          </x14:formula1>
          <xm:sqref>H9:H1048576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23FAF-6192-4F9F-B937-68995861FF2C}">
  <sheetPr codeName="Sheet6"/>
  <dimension ref="B3:G34"/>
  <sheetViews>
    <sheetView showGridLines="0" workbookViewId="0">
      <selection activeCell="G24" sqref="G24"/>
    </sheetView>
  </sheetViews>
  <sheetFormatPr defaultRowHeight="15" x14ac:dyDescent="0.25"/>
  <cols>
    <col min="2" max="2" width="15.85546875" customWidth="1"/>
    <col min="3" max="3" width="14.140625" customWidth="1"/>
    <col min="6" max="6" width="18.7109375" bestFit="1" customWidth="1"/>
    <col min="7" max="7" width="78.28515625" bestFit="1" customWidth="1"/>
  </cols>
  <sheetData>
    <row r="3" spans="2:7" ht="36" x14ac:dyDescent="0.55000000000000004">
      <c r="B3" s="3" t="s">
        <v>6</v>
      </c>
    </row>
    <row r="5" spans="2:7" ht="21" x14ac:dyDescent="0.25">
      <c r="B5" s="5" t="s">
        <v>7</v>
      </c>
      <c r="C5">
        <v>4</v>
      </c>
      <c r="F5" s="25" t="s">
        <v>52</v>
      </c>
      <c r="G5" s="25"/>
    </row>
    <row r="6" spans="2:7" x14ac:dyDescent="0.25">
      <c r="B6" s="5" t="s">
        <v>8</v>
      </c>
      <c r="C6">
        <v>1</v>
      </c>
      <c r="F6" s="11" t="s">
        <v>43</v>
      </c>
      <c r="G6" s="11" t="s">
        <v>44</v>
      </c>
    </row>
    <row r="7" spans="2:7" x14ac:dyDescent="0.25">
      <c r="B7" s="5" t="s">
        <v>15</v>
      </c>
      <c r="C7">
        <v>1</v>
      </c>
      <c r="F7" s="10" t="s">
        <v>45</v>
      </c>
      <c r="G7" s="10" t="s">
        <v>55</v>
      </c>
    </row>
    <row r="8" spans="2:7" x14ac:dyDescent="0.25">
      <c r="B8" s="5" t="s">
        <v>16</v>
      </c>
      <c r="C8">
        <v>15</v>
      </c>
      <c r="F8" s="10" t="s">
        <v>46</v>
      </c>
      <c r="G8" s="10" t="s">
        <v>56</v>
      </c>
    </row>
    <row r="9" spans="2:7" x14ac:dyDescent="0.25">
      <c r="F9" s="10" t="s">
        <v>47</v>
      </c>
      <c r="G9" s="10" t="s">
        <v>57</v>
      </c>
    </row>
    <row r="10" spans="2:7" x14ac:dyDescent="0.25">
      <c r="F10" s="10" t="s">
        <v>48</v>
      </c>
      <c r="G10" s="10" t="s">
        <v>58</v>
      </c>
    </row>
    <row r="11" spans="2:7" x14ac:dyDescent="0.25">
      <c r="F11" s="10" t="s">
        <v>49</v>
      </c>
      <c r="G11" s="10" t="s">
        <v>59</v>
      </c>
    </row>
    <row r="12" spans="2:7" x14ac:dyDescent="0.25">
      <c r="B12" s="5" t="s">
        <v>33</v>
      </c>
      <c r="F12" s="10" t="s">
        <v>50</v>
      </c>
      <c r="G12" s="10" t="s">
        <v>51</v>
      </c>
    </row>
    <row r="13" spans="2:7" x14ac:dyDescent="0.25">
      <c r="B13" t="s">
        <v>34</v>
      </c>
    </row>
    <row r="14" spans="2:7" x14ac:dyDescent="0.25">
      <c r="B14" t="s">
        <v>30</v>
      </c>
    </row>
    <row r="15" spans="2:7" x14ac:dyDescent="0.25">
      <c r="B15" t="s">
        <v>37</v>
      </c>
    </row>
    <row r="16" spans="2:7" x14ac:dyDescent="0.25">
      <c r="B16" t="s">
        <v>35</v>
      </c>
    </row>
    <row r="18" spans="2:2" x14ac:dyDescent="0.25">
      <c r="B18" s="5" t="s">
        <v>38</v>
      </c>
    </row>
    <row r="19" spans="2:2" x14ac:dyDescent="0.25">
      <c r="B19" t="s">
        <v>32</v>
      </c>
    </row>
    <row r="20" spans="2:2" x14ac:dyDescent="0.25">
      <c r="B20" t="s">
        <v>29</v>
      </c>
    </row>
    <row r="21" spans="2:2" x14ac:dyDescent="0.25">
      <c r="B21" t="s">
        <v>39</v>
      </c>
    </row>
    <row r="23" spans="2:2" x14ac:dyDescent="0.25">
      <c r="B23" s="5" t="s">
        <v>40</v>
      </c>
    </row>
    <row r="24" spans="2:2" x14ac:dyDescent="0.25">
      <c r="B24" t="s">
        <v>31</v>
      </c>
    </row>
    <row r="25" spans="2:2" x14ac:dyDescent="0.25">
      <c r="B25" t="s">
        <v>36</v>
      </c>
    </row>
    <row r="26" spans="2:2" x14ac:dyDescent="0.25">
      <c r="B26" t="s">
        <v>41</v>
      </c>
    </row>
    <row r="27" spans="2:2" x14ac:dyDescent="0.25">
      <c r="B27" t="s">
        <v>42</v>
      </c>
    </row>
    <row r="29" spans="2:2" x14ac:dyDescent="0.25">
      <c r="B29" s="5" t="s">
        <v>64</v>
      </c>
    </row>
    <row r="30" spans="2:2" x14ac:dyDescent="0.25">
      <c r="B30" s="6">
        <v>1</v>
      </c>
    </row>
    <row r="31" spans="2:2" x14ac:dyDescent="0.25">
      <c r="B31" s="6">
        <v>0.75</v>
      </c>
    </row>
    <row r="32" spans="2:2" x14ac:dyDescent="0.25">
      <c r="B32" s="6">
        <v>0.5</v>
      </c>
    </row>
    <row r="33" spans="2:2" x14ac:dyDescent="0.25">
      <c r="B33" s="6">
        <v>0.25</v>
      </c>
    </row>
    <row r="34" spans="2:2" x14ac:dyDescent="0.25">
      <c r="B34" s="6">
        <v>0</v>
      </c>
    </row>
  </sheetData>
  <mergeCells count="1">
    <mergeCell ref="F5:G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 and User guide</vt:lpstr>
      <vt:lpstr>Project Journal </vt:lpstr>
      <vt:lpstr>Cost Tracking</vt:lpstr>
      <vt:lpstr>Bill Of Material</vt:lpstr>
      <vt:lpstr>Requirement </vt:lpstr>
      <vt:lpstr>Time Management </vt:lpstr>
      <vt:lpstr>Internal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Hải Nguyễn</dc:creator>
  <cp:lastModifiedBy>Hải Nguyễn</cp:lastModifiedBy>
  <dcterms:created xsi:type="dcterms:W3CDTF">2015-06-05T18:19:34Z</dcterms:created>
  <dcterms:modified xsi:type="dcterms:W3CDTF">2019-10-04T15:57:40Z</dcterms:modified>
</cp:coreProperties>
</file>